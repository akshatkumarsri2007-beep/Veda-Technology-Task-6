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005F1CE-4BF7-4A5D-876E-7AADFD03B9E6}" xr6:coauthVersionLast="47" xr6:coauthVersionMax="47" xr10:uidLastSave="{00000000-0000-0000-0000-000000000000}"/>
  <bookViews>
    <workbookView xWindow="-108" yWindow="-108" windowWidth="23256" windowHeight="12456" tabRatio="500" xr2:uid="{00000000-000D-0000-FFFF-FFFF00000000}"/>
  </bookViews>
  <sheets>
    <sheet name="Transactions" sheetId="1" r:id="rId1"/>
    <sheet name="Price_List" sheetId="2" r:id="rId2"/>
    <sheet name="VLOOKUP_demo" sheetId="3" r:id="rId3"/>
    <sheet name="INDEX_MATCH_demo" sheetId="4" r:id="rId4"/>
    <sheet name="IF_demo" sheetId="5" r:id="rId5"/>
    <sheet name="SUMIFS_COUNTIFS_demo" sheetId="6" r:id="rId6"/>
    <sheet name="TEXT_functions_demo" sheetId="7" r:id="rId7"/>
    <sheet name="Note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7" l="1"/>
  <c r="I5" i="1"/>
  <c r="A19" i="7"/>
  <c r="D19" i="7" s="1"/>
  <c r="A18" i="7"/>
  <c r="B18" i="7" s="1"/>
  <c r="A17" i="7"/>
  <c r="D17" i="7" s="1"/>
  <c r="C16" i="7"/>
  <c r="B16" i="7"/>
  <c r="F16" i="7" s="1"/>
  <c r="A16" i="7"/>
  <c r="D16" i="7" s="1"/>
  <c r="C15" i="7"/>
  <c r="B15" i="7"/>
  <c r="F15" i="7" s="1"/>
  <c r="A15" i="7"/>
  <c r="D15" i="7" s="1"/>
  <c r="D14" i="7"/>
  <c r="C14" i="7"/>
  <c r="B14" i="7"/>
  <c r="F14" i="7" s="1"/>
  <c r="A14" i="7"/>
  <c r="E13" i="7"/>
  <c r="D13" i="7"/>
  <c r="C13" i="7"/>
  <c r="B13" i="7"/>
  <c r="F13" i="7" s="1"/>
  <c r="A13" i="7"/>
  <c r="D12" i="7"/>
  <c r="C12" i="7"/>
  <c r="A12" i="7"/>
  <c r="B12" i="7" s="1"/>
  <c r="A11" i="7"/>
  <c r="C11" i="7" s="1"/>
  <c r="A10" i="7"/>
  <c r="D10" i="7" s="1"/>
  <c r="C9" i="7"/>
  <c r="B9" i="7"/>
  <c r="E9" i="7" s="1"/>
  <c r="A9" i="7"/>
  <c r="D9" i="7" s="1"/>
  <c r="D8" i="7"/>
  <c r="C8" i="7"/>
  <c r="B8" i="7"/>
  <c r="F8" i="7" s="1"/>
  <c r="A8" i="7"/>
  <c r="E7" i="7"/>
  <c r="D7" i="7"/>
  <c r="C7" i="7"/>
  <c r="B7" i="7"/>
  <c r="F7" i="7" s="1"/>
  <c r="A7" i="7"/>
  <c r="D6" i="7"/>
  <c r="A6" i="7"/>
  <c r="B6" i="7" s="1"/>
  <c r="A5" i="7"/>
  <c r="D5" i="7" s="1"/>
  <c r="D16" i="6"/>
  <c r="D15" i="6"/>
  <c r="D14" i="6"/>
  <c r="D13" i="6"/>
  <c r="C9" i="6"/>
  <c r="C8" i="6"/>
  <c r="C7" i="6"/>
  <c r="C6" i="6"/>
  <c r="C19" i="5"/>
  <c r="A19" i="5"/>
  <c r="C18" i="5"/>
  <c r="A18" i="5"/>
  <c r="C17" i="5"/>
  <c r="A17" i="5"/>
  <c r="C16" i="5"/>
  <c r="A16" i="5"/>
  <c r="C15" i="5"/>
  <c r="A15" i="5"/>
  <c r="C14" i="5"/>
  <c r="A14" i="5"/>
  <c r="C13" i="5"/>
  <c r="A13" i="5"/>
  <c r="C12" i="5"/>
  <c r="A12" i="5"/>
  <c r="C11" i="5"/>
  <c r="A11" i="5"/>
  <c r="C10" i="5"/>
  <c r="A10" i="5"/>
  <c r="C9" i="5"/>
  <c r="A9" i="5"/>
  <c r="C8" i="5"/>
  <c r="A8" i="5"/>
  <c r="C7" i="5"/>
  <c r="A7" i="5"/>
  <c r="C6" i="5"/>
  <c r="A6" i="5"/>
  <c r="C5" i="5"/>
  <c r="A5" i="5"/>
  <c r="C9" i="4"/>
  <c r="B9" i="4"/>
  <c r="C8" i="4"/>
  <c r="B8" i="4"/>
  <c r="C7" i="4"/>
  <c r="B7" i="4"/>
  <c r="C6" i="4"/>
  <c r="B6" i="4"/>
  <c r="C5" i="4"/>
  <c r="B5" i="4"/>
  <c r="D9" i="3"/>
  <c r="C9" i="3"/>
  <c r="B9" i="3"/>
  <c r="D8" i="3"/>
  <c r="C8" i="3"/>
  <c r="B8" i="3"/>
  <c r="D7" i="3"/>
  <c r="C7" i="3"/>
  <c r="B7" i="3"/>
  <c r="D6" i="3"/>
  <c r="C6" i="3"/>
  <c r="B6" i="3"/>
  <c r="D5" i="3"/>
  <c r="C5" i="3"/>
  <c r="B5" i="3"/>
  <c r="I19" i="1"/>
  <c r="B19" i="5" s="1"/>
  <c r="I18" i="1"/>
  <c r="B18" i="5" s="1"/>
  <c r="I17" i="1"/>
  <c r="B17" i="5" s="1"/>
  <c r="I16" i="1"/>
  <c r="B16" i="5" s="1"/>
  <c r="I15" i="1"/>
  <c r="B15" i="5" s="1"/>
  <c r="I14" i="1"/>
  <c r="B14" i="5" s="1"/>
  <c r="I13" i="1"/>
  <c r="B13" i="5" s="1"/>
  <c r="I12" i="1"/>
  <c r="B12" i="5" s="1"/>
  <c r="I11" i="1"/>
  <c r="C15" i="6" s="1"/>
  <c r="I10" i="1"/>
  <c r="B10" i="5" s="1"/>
  <c r="I9" i="1"/>
  <c r="B9" i="5" s="1"/>
  <c r="I8" i="1"/>
  <c r="B8" i="6" s="1"/>
  <c r="I7" i="1"/>
  <c r="B7" i="5" s="1"/>
  <c r="I6" i="1"/>
  <c r="B6" i="5" s="1"/>
  <c r="B6" i="6"/>
  <c r="E12" i="5" l="1"/>
  <c r="D12" i="5"/>
  <c r="E14" i="5"/>
  <c r="D14" i="5"/>
  <c r="E15" i="5"/>
  <c r="D15" i="5"/>
  <c r="D17" i="5"/>
  <c r="E17" i="5"/>
  <c r="E9" i="5"/>
  <c r="D9" i="5"/>
  <c r="F6" i="7"/>
  <c r="E6" i="7"/>
  <c r="G6" i="7" s="1"/>
  <c r="E13" i="5"/>
  <c r="D13" i="5"/>
  <c r="E16" i="5"/>
  <c r="D16" i="5"/>
  <c r="E6" i="5"/>
  <c r="D6" i="5"/>
  <c r="E18" i="5"/>
  <c r="D18" i="5"/>
  <c r="G7" i="7"/>
  <c r="E7" i="5"/>
  <c r="D7" i="5"/>
  <c r="E19" i="5"/>
  <c r="D19" i="5"/>
  <c r="E10" i="5"/>
  <c r="D10" i="5"/>
  <c r="G9" i="7"/>
  <c r="F12" i="7"/>
  <c r="E12" i="7"/>
  <c r="G12" i="7" s="1"/>
  <c r="G13" i="7"/>
  <c r="F18" i="7"/>
  <c r="E18" i="7"/>
  <c r="G18" i="7" s="1"/>
  <c r="B8" i="5"/>
  <c r="C6" i="7"/>
  <c r="F9" i="7"/>
  <c r="D11" i="7"/>
  <c r="E16" i="7"/>
  <c r="G16" i="7" s="1"/>
  <c r="C18" i="7"/>
  <c r="B7" i="6"/>
  <c r="C16" i="6"/>
  <c r="D18" i="7"/>
  <c r="B11" i="5"/>
  <c r="B10" i="7"/>
  <c r="E8" i="7"/>
  <c r="G8" i="7" s="1"/>
  <c r="C10" i="7"/>
  <c r="B17" i="7"/>
  <c r="B9" i="6"/>
  <c r="C5" i="7"/>
  <c r="E15" i="7"/>
  <c r="G15" i="7" s="1"/>
  <c r="C17" i="7"/>
  <c r="B19" i="7"/>
  <c r="C13" i="6"/>
  <c r="C19" i="7"/>
  <c r="B5" i="5"/>
  <c r="C14" i="6"/>
  <c r="B11" i="7"/>
  <c r="E14" i="7"/>
  <c r="G14" i="7" s="1"/>
  <c r="F19" i="7" l="1"/>
  <c r="E19" i="7"/>
  <c r="F17" i="7"/>
  <c r="E17" i="7"/>
  <c r="G17" i="7" s="1"/>
  <c r="E11" i="5"/>
  <c r="D11" i="5"/>
  <c r="F11" i="7"/>
  <c r="E11" i="7"/>
  <c r="G11" i="7" s="1"/>
  <c r="E8" i="5"/>
  <c r="D8" i="5"/>
  <c r="F5" i="7"/>
  <c r="E5" i="7"/>
  <c r="G5" i="7" s="1"/>
  <c r="D5" i="5"/>
  <c r="E5" i="5"/>
  <c r="F10" i="7"/>
  <c r="E10" i="7"/>
  <c r="G10" i="7" s="1"/>
  <c r="G19" i="7" l="1"/>
</calcChain>
</file>

<file path=xl/sharedStrings.xml><?xml version="1.0" encoding="utf-8"?>
<sst xmlns="http://schemas.openxmlformats.org/spreadsheetml/2006/main" count="232" uniqueCount="140">
  <si>
    <t>Transactional Dataset</t>
  </si>
  <si>
    <t>Base data used by every formula sheet in this workbook</t>
  </si>
  <si>
    <t>Order ID</t>
  </si>
  <si>
    <t>Order Date</t>
  </si>
  <si>
    <t>Customer Name</t>
  </si>
  <si>
    <t>Region</t>
  </si>
  <si>
    <t>Category</t>
  </si>
  <si>
    <t>Product</t>
  </si>
  <si>
    <t>Quantity</t>
  </si>
  <si>
    <t>Unit Price</t>
  </si>
  <si>
    <t>Amount</t>
  </si>
  <si>
    <t>Payment Status</t>
  </si>
  <si>
    <t>ORD-1001</t>
  </si>
  <si>
    <t>2026-08-01</t>
  </si>
  <si>
    <t xml:space="preserve">  rahul sharma </t>
  </si>
  <si>
    <t>North</t>
  </si>
  <si>
    <t>Electronics</t>
  </si>
  <si>
    <t>Wireless Mouse</t>
  </si>
  <si>
    <t>Paid</t>
  </si>
  <si>
    <t>ORD-1002</t>
  </si>
  <si>
    <t>2026-08-02</t>
  </si>
  <si>
    <t>priya Verma</t>
  </si>
  <si>
    <t>South</t>
  </si>
  <si>
    <t>Stationery</t>
  </si>
  <si>
    <t>Notebook Pack</t>
  </si>
  <si>
    <t>Pending</t>
  </si>
  <si>
    <t>ORD-1003</t>
  </si>
  <si>
    <t>2026-08-03</t>
  </si>
  <si>
    <t>AMIT Singh</t>
  </si>
  <si>
    <t>West</t>
  </si>
  <si>
    <t>USB Cable</t>
  </si>
  <si>
    <t>ORD-1004</t>
  </si>
  <si>
    <t>2026-08-04</t>
  </si>
  <si>
    <t>sneha Iyer</t>
  </si>
  <si>
    <t>East</t>
  </si>
  <si>
    <t>Furniture</t>
  </si>
  <si>
    <t>Office Chair</t>
  </si>
  <si>
    <t>ORD-1005</t>
  </si>
  <si>
    <t>2026-08-05</t>
  </si>
  <si>
    <t xml:space="preserve">vikram rao </t>
  </si>
  <si>
    <t>Keyboard</t>
  </si>
  <si>
    <t>Failed</t>
  </si>
  <si>
    <t>ORD-1006</t>
  </si>
  <si>
    <t>2026-08-06</t>
  </si>
  <si>
    <t xml:space="preserve"> Kavya Nair</t>
  </si>
  <si>
    <t>Sketch Pens</t>
  </si>
  <si>
    <t>ORD-1007</t>
  </si>
  <si>
    <t>2026-08-07</t>
  </si>
  <si>
    <t>Rohit Mehta</t>
  </si>
  <si>
    <t>Bookshelf</t>
  </si>
  <si>
    <t>ORD-1008</t>
  </si>
  <si>
    <t>2026-08-08</t>
  </si>
  <si>
    <t>anjali Gupta</t>
  </si>
  <si>
    <t>ORD-1009</t>
  </si>
  <si>
    <t>2026-08-09</t>
  </si>
  <si>
    <t>Karan Malhotra</t>
  </si>
  <si>
    <t>ORD-1010</t>
  </si>
  <si>
    <t>2026-08-10</t>
  </si>
  <si>
    <t>Divya Pillai</t>
  </si>
  <si>
    <t>ORD-1011</t>
  </si>
  <si>
    <t>2026-08-11</t>
  </si>
  <si>
    <t>Suresh Kumar</t>
  </si>
  <si>
    <t>ORD-1012</t>
  </si>
  <si>
    <t>2026-08-12</t>
  </si>
  <si>
    <t>Neha Joshi</t>
  </si>
  <si>
    <t>ORD-1013</t>
  </si>
  <si>
    <t>2026-08-13</t>
  </si>
  <si>
    <t>Arjun Reddy</t>
  </si>
  <si>
    <t>ORD-1014</t>
  </si>
  <si>
    <t>2026-08-14</t>
  </si>
  <si>
    <t>Meera Das</t>
  </si>
  <si>
    <t>ORD-1015</t>
  </si>
  <si>
    <t>2026-08-15</t>
  </si>
  <si>
    <t>Farhan Ali</t>
  </si>
  <si>
    <t>Note: Customer Name column has intentional messy spacing/casing so it can be cleaned in the Text Functions sheet.</t>
  </si>
  <si>
    <t>Product Reference Table</t>
  </si>
  <si>
    <t>Lookup table used by VLOOKUP and INDEX/MATCH examples</t>
  </si>
  <si>
    <t>Reorder Level</t>
  </si>
  <si>
    <t>VLOOKUP</t>
  </si>
  <si>
    <t>Look up a value from the FIRST column of a table and pull an adjacent column</t>
  </si>
  <si>
    <t>Product (input)</t>
  </si>
  <si>
    <t>Category (VLOOKUP)</t>
  </si>
  <si>
    <t>Unit Price (VLOOKUP)</t>
  </si>
  <si>
    <t>Reorder Level (VLOOKUP)</t>
  </si>
  <si>
    <t>When to use: the lookup value must sit in the LEFTMOST column of the table, and you always need the exact FALSE match for transactional data.</t>
  </si>
  <si>
    <t>INDEX + MATCH  (modern XLOOKUP-style lookup)</t>
  </si>
  <si>
    <t>Works left-to-right AND right-to-left, unlike VLOOKUP. This is what real analysts use in place of XLOOKUP when a workbook must stay compatible everywhere.</t>
  </si>
  <si>
    <t>Category (INDEX/MATCH)</t>
  </si>
  <si>
    <t>Unit Price (INDEX/MATCH)</t>
  </si>
  <si>
    <t>When to use: MATCH finds the row position, INDEX pulls the value from any column (even to the LEFT of the lookup column). More flexible than VLOOKUP and the safest equivalent to XLOOKUP for files that must open correctly in every spreadsheet app.</t>
  </si>
  <si>
    <t>IF / Nested IF</t>
  </si>
  <si>
    <t>Classify each order using simple and nested logic</t>
  </si>
  <si>
    <t>High Value? (IF)</t>
  </si>
  <si>
    <t>Order Tier (Nested IF)</t>
  </si>
  <si>
    <t>When to use: plain IF for a single yes/no rule. Nest IFs only 2-3 levels deep for a small number of tiers/bands; beyond that prefer IFS or a lookup table.</t>
  </si>
  <si>
    <t>SUMIFS &amp; COUNTIFS</t>
  </si>
  <si>
    <t>Aggregate the transactional data with multiple conditions</t>
  </si>
  <si>
    <t>By Region</t>
  </si>
  <si>
    <t>Total Sales (SUMIFS)</t>
  </si>
  <si>
    <t>Order Count (COUNTIFS)</t>
  </si>
  <si>
    <t>By Category + Payment Status (multi-condition)</t>
  </si>
  <si>
    <t>Status</t>
  </si>
  <si>
    <t>When to use: SUMIFS/COUNTIFS handle ANY number of AND conditions across columns. Faster and clearer than SUMPRODUCT for simple AND logic; use SUMPRODUCT only for OR logic or array math.</t>
  </si>
  <si>
    <t>Text Functions</t>
  </si>
  <si>
    <t>Clean and reshape the messy Customer Name column</t>
  </si>
  <si>
    <t>Raw Name</t>
  </si>
  <si>
    <t>TRIM</t>
  </si>
  <si>
    <t>PROPER</t>
  </si>
  <si>
    <t>UPPER</t>
  </si>
  <si>
    <t>First Name (LEFT+FIND)</t>
  </si>
  <si>
    <t>Last Name (MID/RIGHT+FIND)</t>
  </si>
  <si>
    <t>Initials (custom)</t>
  </si>
  <si>
    <t>When to use: TRIM removes stray spaces (common Excel import issue), PROPER/UPPER fix casing, and LEFT/MID/FIND split a full name into parts by locating the space character.</t>
  </si>
  <si>
    <t>Short Notes: When To Use Each Formula</t>
  </si>
  <si>
    <t>Deliverable 2 - quick reference cheat sheet</t>
  </si>
  <si>
    <t>Function</t>
  </si>
  <si>
    <t>Use it when...</t>
  </si>
  <si>
    <t>Watch out for</t>
  </si>
  <si>
    <t>You need one value from a table and the lookup column is the LEFTMOST column.</t>
  </si>
  <si>
    <t>Breaks if columns are inserted/reordered; always use FALSE for exact match.</t>
  </si>
  <si>
    <t>INDEX + MATCH</t>
  </si>
  <si>
    <t>You need a lookup that can pull data from any column (left or right) or a two-way lookup.</t>
  </si>
  <si>
    <t>Slightly more setup than VLOOKUP, but far more flexible and column-order safe.</t>
  </si>
  <si>
    <t>IF</t>
  </si>
  <si>
    <t>You need a single yes/no or two-outcome decision based on one condition.</t>
  </si>
  <si>
    <t>Nesting more than 2-3 IFs gets hard to read - use IFS or a lookup table instead.</t>
  </si>
  <si>
    <t>SUMIFS</t>
  </si>
  <si>
    <t>You need to total a column while filtering on one or more other columns (AND logic).</t>
  </si>
  <si>
    <t>All ranges must be the same size/shape as the sum range.</t>
  </si>
  <si>
    <t>COUNTIFS</t>
  </si>
  <si>
    <t>You need to count rows matching one or more conditions.</t>
  </si>
  <si>
    <t>Text matches are case-insensitive; use exact same range sizes as SUMIFS.</t>
  </si>
  <si>
    <t>Data imported from another system has extra/leading/trailing spaces.</t>
  </si>
  <si>
    <t>Only removes single extra spaces between words plus outer spaces, not tabs/line breaks.</t>
  </si>
  <si>
    <t>PROPER / UPPER / LOWER</t>
  </si>
  <si>
    <t>You need consistent capitalization for names, IDs, or codes.</t>
  </si>
  <si>
    <t>Run TRIM first, or spacing issues carry through.</t>
  </si>
  <si>
    <t>LEFT / MID / RIGHT / FIND</t>
  </si>
  <si>
    <t>You need to split or extract part of a text string (e.g. first vs last name).</t>
  </si>
  <si>
    <t>FIND is case-sensitive and errors if the character (like a space) isn't present - wrap in IFERROR for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</si>
</sst>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4"/>
      <color rgb="FF1F4E78"/>
      <name val="Arial"/>
      <charset val="1"/>
    </font>
    <font>
      <i/>
      <sz val="10"/>
      <color rgb="FF555555"/>
      <name val="Arial"/>
      <charset val="1"/>
    </font>
    <font>
      <b/>
      <sz val="11"/>
      <color rgb="FFFFFFFF"/>
      <name val="Arial"/>
      <charset val="1"/>
    </font>
    <font>
      <sz val="11"/>
      <name val="Arial"/>
      <charset val="1"/>
    </font>
    <font>
      <sz val="10"/>
      <color rgb="FF333333"/>
      <name val="Arial"/>
      <charset val="1"/>
    </font>
    <font>
      <sz val="11"/>
      <color theme="1"/>
      <name val="Arial"/>
      <charset val="1"/>
    </font>
    <font>
      <b/>
      <sz val="11"/>
      <name val="Arial"/>
      <charset val="1"/>
    </font>
    <font>
      <sz val="11"/>
      <name val="Arial"/>
      <family val="2"/>
    </font>
    <font>
      <b/>
      <u/>
      <sz val="14"/>
      <color rgb="FF1F4E78"/>
      <name val="Arial"/>
      <family val="2"/>
    </font>
    <font>
      <sz val="10"/>
      <color rgb="FF333333"/>
      <name val="Arial"/>
      <family val="2"/>
    </font>
    <font>
      <b/>
      <sz val="10"/>
      <color rgb="FF333333"/>
      <name val="Arial"/>
      <family val="2"/>
    </font>
    <font>
      <b/>
      <sz val="11"/>
      <color theme="1"/>
      <name val="Calibri"/>
      <family val="2"/>
      <charset val="1"/>
    </font>
    <font>
      <b/>
      <i/>
      <sz val="10"/>
      <color rgb="FF555555"/>
      <name val="Arial"/>
      <family val="2"/>
    </font>
    <font>
      <b/>
      <i/>
      <sz val="14"/>
      <color rgb="FF555555"/>
      <name val="Arial"/>
      <family val="2"/>
    </font>
    <font>
      <b/>
      <sz val="14"/>
      <color theme="1"/>
      <name val="Calibri"/>
      <family val="2"/>
      <charset val="1"/>
    </font>
    <font>
      <b/>
      <sz val="16"/>
      <color rgb="FF333333"/>
      <name val="Arial"/>
      <family val="2"/>
    </font>
    <font>
      <b/>
      <sz val="16"/>
      <color theme="1"/>
      <name val="Calibri"/>
      <family val="2"/>
      <charset val="1"/>
    </font>
  </fonts>
  <fills count="14">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theme="9" tint="-0.249977111117893"/>
        <bgColor rgb="FF003366"/>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bgColor rgb="FF003366"/>
      </patternFill>
    </fill>
    <fill>
      <patternFill patternType="solid">
        <fgColor theme="0"/>
        <bgColor indexed="64"/>
      </patternFill>
    </fill>
    <fill>
      <patternFill patternType="solid">
        <fgColor theme="8" tint="-0.249977111117893"/>
        <bgColor rgb="FF003366"/>
      </patternFill>
    </fill>
    <fill>
      <patternFill patternType="solid">
        <fgColor theme="9" tint="-0.499984740745262"/>
        <bgColor rgb="FF003366"/>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499984740745262"/>
        <bgColor rgb="FF00336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5">
    <xf numFmtId="0" fontId="0" fillId="0" borderId="0" xfId="0"/>
    <xf numFmtId="0" fontId="5"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1" xfId="0" applyFont="1" applyBorder="1"/>
    <xf numFmtId="0" fontId="6" fillId="3" borderId="1" xfId="0" applyFont="1" applyFill="1" applyBorder="1"/>
    <xf numFmtId="0" fontId="6" fillId="0" borderId="1" xfId="0" applyFont="1" applyBorder="1"/>
    <xf numFmtId="3" fontId="6" fillId="0" borderId="1" xfId="0" applyNumberFormat="1" applyFont="1" applyBorder="1"/>
    <xf numFmtId="0" fontId="7" fillId="0" borderId="0" xfId="0" applyFont="1"/>
    <xf numFmtId="0" fontId="6" fillId="0" borderId="1" xfId="0" applyFont="1" applyBorder="1" applyAlignment="1">
      <alignment vertical="top" wrapText="1"/>
    </xf>
    <xf numFmtId="0" fontId="3" fillId="4" borderId="1" xfId="0" applyFont="1" applyFill="1" applyBorder="1" applyAlignment="1">
      <alignment horizontal="center" vertical="center"/>
    </xf>
    <xf numFmtId="0" fontId="4" fillId="5" borderId="1" xfId="0" applyFont="1" applyFill="1" applyBorder="1"/>
    <xf numFmtId="3" fontId="4" fillId="5" borderId="1" xfId="0" applyNumberFormat="1" applyFont="1" applyFill="1" applyBorder="1"/>
    <xf numFmtId="0" fontId="1" fillId="6" borderId="0" xfId="0" applyFont="1" applyFill="1"/>
    <xf numFmtId="0" fontId="0" fillId="6" borderId="0" xfId="0" applyFill="1"/>
    <xf numFmtId="0" fontId="3" fillId="7" borderId="1" xfId="0" applyFont="1" applyFill="1" applyBorder="1" applyAlignment="1">
      <alignment horizontal="center" vertical="center"/>
    </xf>
    <xf numFmtId="0" fontId="2" fillId="8" borderId="0" xfId="0" applyFont="1" applyFill="1"/>
    <xf numFmtId="0" fontId="0" fillId="8" borderId="0" xfId="0" applyFill="1"/>
    <xf numFmtId="0" fontId="8" fillId="5" borderId="1" xfId="0" applyFont="1" applyFill="1" applyBorder="1"/>
    <xf numFmtId="0" fontId="3" fillId="9" borderId="1" xfId="0" applyFont="1" applyFill="1" applyBorder="1" applyAlignment="1">
      <alignment horizontal="center" vertical="center"/>
    </xf>
    <xf numFmtId="0" fontId="9" fillId="0" borderId="0" xfId="0" applyFont="1"/>
    <xf numFmtId="0" fontId="10" fillId="0" borderId="0" xfId="0" applyFont="1"/>
    <xf numFmtId="0" fontId="3" fillId="10" borderId="1" xfId="0" applyFont="1" applyFill="1" applyBorder="1" applyAlignment="1">
      <alignment horizontal="center" vertical="center"/>
    </xf>
    <xf numFmtId="0" fontId="6" fillId="11" borderId="1" xfId="0" applyFont="1" applyFill="1" applyBorder="1"/>
    <xf numFmtId="3" fontId="6" fillId="11" borderId="1" xfId="0" applyNumberFormat="1" applyFont="1" applyFill="1" applyBorder="1"/>
    <xf numFmtId="0" fontId="7" fillId="12" borderId="1" xfId="0" applyFont="1" applyFill="1" applyBorder="1"/>
    <xf numFmtId="0" fontId="3" fillId="13" borderId="1" xfId="0" applyFont="1" applyFill="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zoomScaleNormal="100" workbookViewId="0">
      <pane ySplit="4" topLeftCell="A5" activePane="bottomLeft" state="frozen"/>
      <selection pane="bottomLeft" activeCell="P9" sqref="P9"/>
    </sheetView>
  </sheetViews>
  <sheetFormatPr defaultColWidth="8.6640625" defaultRowHeight="14.4" x14ac:dyDescent="0.3"/>
  <cols>
    <col min="1" max="2" width="12" customWidth="1"/>
    <col min="3" max="3" width="20" customWidth="1"/>
    <col min="4" max="4" width="10" customWidth="1"/>
    <col min="5" max="5" width="13" customWidth="1"/>
    <col min="6" max="6" width="16" customWidth="1"/>
    <col min="7" max="7" width="10" customWidth="1"/>
    <col min="8" max="9" width="11" customWidth="1"/>
    <col min="10" max="10" width="16.44140625" bestFit="1" customWidth="1"/>
  </cols>
  <sheetData>
    <row r="1" spans="1:10" ht="17.399999999999999" x14ac:dyDescent="0.3">
      <c r="A1" s="14" t="s">
        <v>0</v>
      </c>
      <c r="B1" s="15"/>
      <c r="C1" s="15"/>
      <c r="D1" s="15"/>
    </row>
    <row r="2" spans="1:10" ht="18" x14ac:dyDescent="0.35">
      <c r="A2" s="31" t="s">
        <v>1</v>
      </c>
      <c r="B2" s="32"/>
      <c r="C2" s="32"/>
      <c r="D2" s="32"/>
      <c r="E2" s="29"/>
    </row>
    <row r="4" spans="1:10" x14ac:dyDescent="0.3">
      <c r="A4" s="11" t="s">
        <v>2</v>
      </c>
      <c r="B4" s="11" t="s">
        <v>3</v>
      </c>
      <c r="C4" s="11" t="s">
        <v>4</v>
      </c>
      <c r="D4" s="11" t="s">
        <v>5</v>
      </c>
      <c r="E4" s="11" t="s">
        <v>6</v>
      </c>
      <c r="F4" s="11" t="s">
        <v>7</v>
      </c>
      <c r="G4" s="11" t="s">
        <v>8</v>
      </c>
      <c r="H4" s="11" t="s">
        <v>9</v>
      </c>
      <c r="I4" s="11" t="s">
        <v>10</v>
      </c>
      <c r="J4" s="11" t="s">
        <v>11</v>
      </c>
    </row>
    <row r="5" spans="1:10" x14ac:dyDescent="0.3">
      <c r="A5" s="12" t="s">
        <v>12</v>
      </c>
      <c r="B5" s="12" t="s">
        <v>13</v>
      </c>
      <c r="C5" s="12" t="s">
        <v>14</v>
      </c>
      <c r="D5" s="12" t="s">
        <v>15</v>
      </c>
      <c r="E5" s="12" t="s">
        <v>16</v>
      </c>
      <c r="F5" s="12" t="s">
        <v>17</v>
      </c>
      <c r="G5" s="12">
        <v>3</v>
      </c>
      <c r="H5" s="12">
        <v>499</v>
      </c>
      <c r="I5" s="13">
        <f>G5*H5</f>
        <v>1497</v>
      </c>
      <c r="J5" s="19" t="s">
        <v>18</v>
      </c>
    </row>
    <row r="6" spans="1:10" x14ac:dyDescent="0.3">
      <c r="A6" s="12" t="s">
        <v>19</v>
      </c>
      <c r="B6" s="12" t="s">
        <v>20</v>
      </c>
      <c r="C6" s="12" t="s">
        <v>21</v>
      </c>
      <c r="D6" s="12" t="s">
        <v>22</v>
      </c>
      <c r="E6" s="12" t="s">
        <v>23</v>
      </c>
      <c r="F6" s="12" t="s">
        <v>24</v>
      </c>
      <c r="G6" s="12">
        <v>10</v>
      </c>
      <c r="H6" s="12">
        <v>60</v>
      </c>
      <c r="I6" s="13">
        <f t="shared" ref="I5:I19" si="0">G6*H6</f>
        <v>600</v>
      </c>
      <c r="J6" s="12" t="s">
        <v>25</v>
      </c>
    </row>
    <row r="7" spans="1:10" x14ac:dyDescent="0.3">
      <c r="A7" s="12" t="s">
        <v>26</v>
      </c>
      <c r="B7" s="12" t="s">
        <v>27</v>
      </c>
      <c r="C7" s="12" t="s">
        <v>28</v>
      </c>
      <c r="D7" s="12" t="s">
        <v>29</v>
      </c>
      <c r="E7" s="12" t="s">
        <v>16</v>
      </c>
      <c r="F7" s="12" t="s">
        <v>30</v>
      </c>
      <c r="G7" s="12">
        <v>5</v>
      </c>
      <c r="H7" s="12">
        <v>150</v>
      </c>
      <c r="I7" s="13">
        <f t="shared" si="0"/>
        <v>750</v>
      </c>
      <c r="J7" s="12" t="s">
        <v>18</v>
      </c>
    </row>
    <row r="8" spans="1:10" x14ac:dyDescent="0.3">
      <c r="A8" s="12" t="s">
        <v>31</v>
      </c>
      <c r="B8" s="12" t="s">
        <v>32</v>
      </c>
      <c r="C8" s="12" t="s">
        <v>33</v>
      </c>
      <c r="D8" s="12" t="s">
        <v>34</v>
      </c>
      <c r="E8" s="12" t="s">
        <v>35</v>
      </c>
      <c r="F8" s="12" t="s">
        <v>36</v>
      </c>
      <c r="G8" s="12">
        <v>1</v>
      </c>
      <c r="H8" s="12">
        <v>4500</v>
      </c>
      <c r="I8" s="13">
        <f t="shared" si="0"/>
        <v>4500</v>
      </c>
      <c r="J8" s="12" t="s">
        <v>18</v>
      </c>
    </row>
    <row r="9" spans="1:10" x14ac:dyDescent="0.3">
      <c r="A9" s="12" t="s">
        <v>37</v>
      </c>
      <c r="B9" s="12" t="s">
        <v>38</v>
      </c>
      <c r="C9" s="12" t="s">
        <v>39</v>
      </c>
      <c r="D9" s="12" t="s">
        <v>15</v>
      </c>
      <c r="E9" s="12" t="s">
        <v>16</v>
      </c>
      <c r="F9" s="12" t="s">
        <v>40</v>
      </c>
      <c r="G9" s="12">
        <v>2</v>
      </c>
      <c r="H9" s="12">
        <v>899</v>
      </c>
      <c r="I9" s="13">
        <f t="shared" si="0"/>
        <v>1798</v>
      </c>
      <c r="J9" s="12" t="s">
        <v>41</v>
      </c>
    </row>
    <row r="10" spans="1:10" x14ac:dyDescent="0.3">
      <c r="A10" s="12" t="s">
        <v>42</v>
      </c>
      <c r="B10" s="12" t="s">
        <v>43</v>
      </c>
      <c r="C10" s="12" t="s">
        <v>44</v>
      </c>
      <c r="D10" s="12" t="s">
        <v>22</v>
      </c>
      <c r="E10" s="12" t="s">
        <v>23</v>
      </c>
      <c r="F10" s="12" t="s">
        <v>45</v>
      </c>
      <c r="G10" s="12">
        <v>8</v>
      </c>
      <c r="H10" s="12">
        <v>45</v>
      </c>
      <c r="I10" s="13">
        <f t="shared" si="0"/>
        <v>360</v>
      </c>
      <c r="J10" s="12" t="s">
        <v>18</v>
      </c>
    </row>
    <row r="11" spans="1:10" x14ac:dyDescent="0.3">
      <c r="A11" s="12" t="s">
        <v>46</v>
      </c>
      <c r="B11" s="12" t="s">
        <v>47</v>
      </c>
      <c r="C11" s="12" t="s">
        <v>48</v>
      </c>
      <c r="D11" s="12" t="s">
        <v>29</v>
      </c>
      <c r="E11" s="12" t="s">
        <v>35</v>
      </c>
      <c r="F11" s="12" t="s">
        <v>49</v>
      </c>
      <c r="G11" s="12">
        <v>1</v>
      </c>
      <c r="H11" s="12">
        <v>3200</v>
      </c>
      <c r="I11" s="13">
        <f t="shared" si="0"/>
        <v>3200</v>
      </c>
      <c r="J11" s="12" t="s">
        <v>25</v>
      </c>
    </row>
    <row r="12" spans="1:10" x14ac:dyDescent="0.3">
      <c r="A12" s="12" t="s">
        <v>50</v>
      </c>
      <c r="B12" s="12" t="s">
        <v>51</v>
      </c>
      <c r="C12" s="12" t="s">
        <v>52</v>
      </c>
      <c r="D12" s="12" t="s">
        <v>34</v>
      </c>
      <c r="E12" s="12" t="s">
        <v>16</v>
      </c>
      <c r="F12" s="12" t="s">
        <v>17</v>
      </c>
      <c r="G12" s="12">
        <v>4</v>
      </c>
      <c r="H12" s="12">
        <v>499</v>
      </c>
      <c r="I12" s="13">
        <f t="shared" si="0"/>
        <v>1996</v>
      </c>
      <c r="J12" s="12" t="s">
        <v>18</v>
      </c>
    </row>
    <row r="13" spans="1:10" x14ac:dyDescent="0.3">
      <c r="A13" s="12" t="s">
        <v>53</v>
      </c>
      <c r="B13" s="12" t="s">
        <v>54</v>
      </c>
      <c r="C13" s="12" t="s">
        <v>55</v>
      </c>
      <c r="D13" s="12" t="s">
        <v>15</v>
      </c>
      <c r="E13" s="12" t="s">
        <v>23</v>
      </c>
      <c r="F13" s="12" t="s">
        <v>24</v>
      </c>
      <c r="G13" s="12">
        <v>6</v>
      </c>
      <c r="H13" s="12">
        <v>60</v>
      </c>
      <c r="I13" s="13">
        <f t="shared" si="0"/>
        <v>360</v>
      </c>
      <c r="J13" s="12" t="s">
        <v>18</v>
      </c>
    </row>
    <row r="14" spans="1:10" x14ac:dyDescent="0.3">
      <c r="A14" s="12" t="s">
        <v>56</v>
      </c>
      <c r="B14" s="12" t="s">
        <v>57</v>
      </c>
      <c r="C14" s="12" t="s">
        <v>58</v>
      </c>
      <c r="D14" s="12" t="s">
        <v>22</v>
      </c>
      <c r="E14" s="12" t="s">
        <v>35</v>
      </c>
      <c r="F14" s="12" t="s">
        <v>36</v>
      </c>
      <c r="G14" s="12">
        <v>2</v>
      </c>
      <c r="H14" s="12">
        <v>4500</v>
      </c>
      <c r="I14" s="13">
        <f t="shared" si="0"/>
        <v>9000</v>
      </c>
      <c r="J14" s="12" t="s">
        <v>41</v>
      </c>
    </row>
    <row r="15" spans="1:10" x14ac:dyDescent="0.3">
      <c r="A15" s="12" t="s">
        <v>59</v>
      </c>
      <c r="B15" s="12" t="s">
        <v>60</v>
      </c>
      <c r="C15" s="12" t="s">
        <v>61</v>
      </c>
      <c r="D15" s="12" t="s">
        <v>29</v>
      </c>
      <c r="E15" s="12" t="s">
        <v>16</v>
      </c>
      <c r="F15" s="12" t="s">
        <v>30</v>
      </c>
      <c r="G15" s="12">
        <v>12</v>
      </c>
      <c r="H15" s="12">
        <v>150</v>
      </c>
      <c r="I15" s="13">
        <f t="shared" si="0"/>
        <v>1800</v>
      </c>
      <c r="J15" s="12" t="s">
        <v>18</v>
      </c>
    </row>
    <row r="16" spans="1:10" x14ac:dyDescent="0.3">
      <c r="A16" s="12" t="s">
        <v>62</v>
      </c>
      <c r="B16" s="12" t="s">
        <v>63</v>
      </c>
      <c r="C16" s="12" t="s">
        <v>64</v>
      </c>
      <c r="D16" s="12" t="s">
        <v>34</v>
      </c>
      <c r="E16" s="12" t="s">
        <v>23</v>
      </c>
      <c r="F16" s="12" t="s">
        <v>45</v>
      </c>
      <c r="G16" s="12">
        <v>15</v>
      </c>
      <c r="H16" s="12">
        <v>45</v>
      </c>
      <c r="I16" s="13">
        <f t="shared" si="0"/>
        <v>675</v>
      </c>
      <c r="J16" s="12" t="s">
        <v>18</v>
      </c>
    </row>
    <row r="17" spans="1:14" x14ac:dyDescent="0.3">
      <c r="A17" s="12" t="s">
        <v>65</v>
      </c>
      <c r="B17" s="12" t="s">
        <v>66</v>
      </c>
      <c r="C17" s="12" t="s">
        <v>67</v>
      </c>
      <c r="D17" s="12" t="s">
        <v>15</v>
      </c>
      <c r="E17" s="12" t="s">
        <v>16</v>
      </c>
      <c r="F17" s="12" t="s">
        <v>40</v>
      </c>
      <c r="G17" s="12">
        <v>1</v>
      </c>
      <c r="H17" s="12">
        <v>899</v>
      </c>
      <c r="I17" s="13">
        <f t="shared" si="0"/>
        <v>899</v>
      </c>
      <c r="J17" s="12" t="s">
        <v>25</v>
      </c>
    </row>
    <row r="18" spans="1:14" x14ac:dyDescent="0.3">
      <c r="A18" s="12" t="s">
        <v>68</v>
      </c>
      <c r="B18" s="12" t="s">
        <v>69</v>
      </c>
      <c r="C18" s="12" t="s">
        <v>70</v>
      </c>
      <c r="D18" s="12" t="s">
        <v>22</v>
      </c>
      <c r="E18" s="12" t="s">
        <v>35</v>
      </c>
      <c r="F18" s="12" t="s">
        <v>49</v>
      </c>
      <c r="G18" s="12">
        <v>3</v>
      </c>
      <c r="H18" s="12">
        <v>3200</v>
      </c>
      <c r="I18" s="13">
        <f t="shared" si="0"/>
        <v>9600</v>
      </c>
      <c r="J18" s="12" t="s">
        <v>18</v>
      </c>
    </row>
    <row r="19" spans="1:14" x14ac:dyDescent="0.3">
      <c r="A19" s="12" t="s">
        <v>71</v>
      </c>
      <c r="B19" s="12" t="s">
        <v>72</v>
      </c>
      <c r="C19" s="12" t="s">
        <v>73</v>
      </c>
      <c r="D19" s="12" t="s">
        <v>29</v>
      </c>
      <c r="E19" s="12" t="s">
        <v>16</v>
      </c>
      <c r="F19" s="12" t="s">
        <v>17</v>
      </c>
      <c r="G19" s="12">
        <v>7</v>
      </c>
      <c r="H19" s="12">
        <v>499</v>
      </c>
      <c r="I19" s="13">
        <f t="shared" si="0"/>
        <v>3493</v>
      </c>
      <c r="J19" s="12" t="s">
        <v>18</v>
      </c>
    </row>
    <row r="21" spans="1:14" ht="21" x14ac:dyDescent="0.4">
      <c r="A21" s="33" t="s">
        <v>74</v>
      </c>
      <c r="B21" s="34"/>
      <c r="C21" s="34"/>
      <c r="D21" s="34"/>
      <c r="E21" s="34"/>
      <c r="F21" s="34"/>
      <c r="G21" s="34"/>
      <c r="H21" s="34"/>
      <c r="I21" s="29"/>
      <c r="J21" s="29"/>
      <c r="K21" s="29"/>
      <c r="L21" s="29"/>
      <c r="M21" s="29"/>
      <c r="N21" s="29"/>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Normal="100" workbookViewId="0">
      <selection activeCell="F4" sqref="F4"/>
    </sheetView>
  </sheetViews>
  <sheetFormatPr defaultColWidth="8.6640625" defaultRowHeight="14.4" x14ac:dyDescent="0.3"/>
  <cols>
    <col min="1" max="1" width="18" customWidth="1"/>
    <col min="2" max="2" width="14" customWidth="1"/>
    <col min="3" max="3" width="12" customWidth="1"/>
    <col min="4" max="4" width="14" customWidth="1"/>
  </cols>
  <sheetData>
    <row r="1" spans="1:4" ht="17.399999999999999" x14ac:dyDescent="0.3">
      <c r="A1" s="2" t="s">
        <v>75</v>
      </c>
    </row>
    <row r="2" spans="1:4" x14ac:dyDescent="0.3">
      <c r="A2" s="17" t="s">
        <v>76</v>
      </c>
      <c r="B2" s="18"/>
      <c r="C2" s="18"/>
      <c r="D2" s="18"/>
    </row>
    <row r="4" spans="1:4" x14ac:dyDescent="0.3">
      <c r="A4" s="16" t="s">
        <v>7</v>
      </c>
      <c r="B4" s="16" t="s">
        <v>6</v>
      </c>
      <c r="C4" s="16" t="s">
        <v>9</v>
      </c>
      <c r="D4" s="16" t="s">
        <v>77</v>
      </c>
    </row>
    <row r="5" spans="1:4" x14ac:dyDescent="0.3">
      <c r="A5" s="5" t="s">
        <v>17</v>
      </c>
      <c r="B5" s="5" t="s">
        <v>16</v>
      </c>
      <c r="C5" s="5">
        <v>499</v>
      </c>
      <c r="D5" s="5">
        <v>20</v>
      </c>
    </row>
    <row r="6" spans="1:4" x14ac:dyDescent="0.3">
      <c r="A6" s="5" t="s">
        <v>30</v>
      </c>
      <c r="B6" s="5" t="s">
        <v>16</v>
      </c>
      <c r="C6" s="5">
        <v>150</v>
      </c>
      <c r="D6" s="5">
        <v>30</v>
      </c>
    </row>
    <row r="7" spans="1:4" x14ac:dyDescent="0.3">
      <c r="A7" s="5" t="s">
        <v>40</v>
      </c>
      <c r="B7" s="5" t="s">
        <v>16</v>
      </c>
      <c r="C7" s="5">
        <v>899</v>
      </c>
      <c r="D7" s="5">
        <v>15</v>
      </c>
    </row>
    <row r="8" spans="1:4" x14ac:dyDescent="0.3">
      <c r="A8" s="5" t="s">
        <v>24</v>
      </c>
      <c r="B8" s="5" t="s">
        <v>23</v>
      </c>
      <c r="C8" s="5">
        <v>60</v>
      </c>
      <c r="D8" s="5">
        <v>50</v>
      </c>
    </row>
    <row r="9" spans="1:4" x14ac:dyDescent="0.3">
      <c r="A9" s="5" t="s">
        <v>45</v>
      </c>
      <c r="B9" s="5" t="s">
        <v>23</v>
      </c>
      <c r="C9" s="5">
        <v>45</v>
      </c>
      <c r="D9" s="5">
        <v>40</v>
      </c>
    </row>
    <row r="10" spans="1:4" x14ac:dyDescent="0.3">
      <c r="A10" s="5" t="s">
        <v>36</v>
      </c>
      <c r="B10" s="5" t="s">
        <v>35</v>
      </c>
      <c r="C10" s="5">
        <v>4500</v>
      </c>
      <c r="D10" s="5">
        <v>5</v>
      </c>
    </row>
    <row r="11" spans="1:4" x14ac:dyDescent="0.3">
      <c r="A11" s="5" t="s">
        <v>49</v>
      </c>
      <c r="B11" s="5" t="s">
        <v>35</v>
      </c>
      <c r="C11" s="5">
        <v>3200</v>
      </c>
      <c r="D11" s="5">
        <v>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zoomScaleNormal="100" workbookViewId="0">
      <selection activeCell="A12" sqref="A12:D12"/>
    </sheetView>
  </sheetViews>
  <sheetFormatPr defaultColWidth="8.6640625" defaultRowHeight="14.4" x14ac:dyDescent="0.3"/>
  <cols>
    <col min="1" max="1" width="15.109375" customWidth="1"/>
    <col min="2" max="2" width="22.109375" bestFit="1" customWidth="1"/>
    <col min="3" max="3" width="23.44140625" customWidth="1"/>
    <col min="4" max="4" width="57.33203125" customWidth="1"/>
  </cols>
  <sheetData>
    <row r="1" spans="1:4" ht="17.399999999999999" x14ac:dyDescent="0.3">
      <c r="A1" s="21" t="s">
        <v>78</v>
      </c>
    </row>
    <row r="2" spans="1:4" x14ac:dyDescent="0.3">
      <c r="A2" s="3" t="s">
        <v>79</v>
      </c>
    </row>
    <row r="4" spans="1:4" x14ac:dyDescent="0.3">
      <c r="A4" s="20" t="s">
        <v>80</v>
      </c>
      <c r="B4" s="20" t="s">
        <v>81</v>
      </c>
      <c r="C4" s="20" t="s">
        <v>82</v>
      </c>
      <c r="D4" s="20" t="s">
        <v>83</v>
      </c>
    </row>
    <row r="5" spans="1:4" x14ac:dyDescent="0.3">
      <c r="A5" s="6" t="s">
        <v>17</v>
      </c>
      <c r="B5" s="7" t="str">
        <f>VLOOKUP(A5,Price_List!$A$5:$D$11,2,FALSE())</f>
        <v>Electronics</v>
      </c>
      <c r="C5" s="8">
        <f>VLOOKUP(A5,Price_List!$A$5:$D$11,3,FALSE())</f>
        <v>499</v>
      </c>
      <c r="D5" s="7">
        <f>VLOOKUP(A5,Price_List!$A$5:$D$11,4,FALSE())</f>
        <v>20</v>
      </c>
    </row>
    <row r="6" spans="1:4" x14ac:dyDescent="0.3">
      <c r="A6" s="6" t="s">
        <v>36</v>
      </c>
      <c r="B6" s="7" t="str">
        <f>VLOOKUP(A6,Price_List!$A$5:$D$11,2,FALSE())</f>
        <v>Furniture</v>
      </c>
      <c r="C6" s="8">
        <f>VLOOKUP(A6,Price_List!$A$5:$D$11,3,FALSE())</f>
        <v>4500</v>
      </c>
      <c r="D6" s="7">
        <f>VLOOKUP(A6,Price_List!$A$5:$D$11,4,FALSE())</f>
        <v>5</v>
      </c>
    </row>
    <row r="7" spans="1:4" x14ac:dyDescent="0.3">
      <c r="A7" s="6" t="s">
        <v>45</v>
      </c>
      <c r="B7" s="7" t="str">
        <f>VLOOKUP(A7,Price_List!$A$5:$D$11,2,FALSE())</f>
        <v>Stationery</v>
      </c>
      <c r="C7" s="8">
        <f>VLOOKUP(A7,Price_List!$A$5:$D$11,3,FALSE())</f>
        <v>45</v>
      </c>
      <c r="D7" s="7">
        <f>VLOOKUP(A7,Price_List!$A$5:$D$11,4,FALSE())</f>
        <v>40</v>
      </c>
    </row>
    <row r="8" spans="1:4" x14ac:dyDescent="0.3">
      <c r="A8" s="6" t="s">
        <v>49</v>
      </c>
      <c r="B8" s="7" t="str">
        <f>VLOOKUP(A8,Price_List!$A$5:$D$11,2,FALSE())</f>
        <v>Furniture</v>
      </c>
      <c r="C8" s="8">
        <f>VLOOKUP(A8,Price_List!$A$5:$D$11,3,FALSE())</f>
        <v>3200</v>
      </c>
      <c r="D8" s="7">
        <f>VLOOKUP(A8,Price_List!$A$5:$D$11,4,FALSE())</f>
        <v>8</v>
      </c>
    </row>
    <row r="9" spans="1:4" x14ac:dyDescent="0.3">
      <c r="A9" s="6" t="s">
        <v>40</v>
      </c>
      <c r="B9" s="7" t="str">
        <f>VLOOKUP(A9,Price_List!$A$5:$D$11,2,FALSE())</f>
        <v>Electronics</v>
      </c>
      <c r="C9" s="8">
        <f>VLOOKUP(A9,Price_List!$A$5:$D$11,3,FALSE())</f>
        <v>899</v>
      </c>
      <c r="D9" s="7">
        <f>VLOOKUP(A9,Price_List!$A$5:$D$11,4,FALSE())</f>
        <v>15</v>
      </c>
    </row>
    <row r="12" spans="1:4" x14ac:dyDescent="0.3">
      <c r="A12" s="22" t="s">
        <v>84</v>
      </c>
      <c r="B12" s="22"/>
      <c r="C12" s="22"/>
      <c r="D12" s="22"/>
    </row>
  </sheetData>
  <mergeCells count="1">
    <mergeCell ref="A12:D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zoomScaleNormal="100" workbookViewId="0"/>
  </sheetViews>
  <sheetFormatPr defaultColWidth="8.6640625" defaultRowHeight="14.4" x14ac:dyDescent="0.3"/>
  <cols>
    <col min="1" max="1" width="138.109375" bestFit="1" customWidth="1"/>
    <col min="2" max="2" width="26.109375" bestFit="1" customWidth="1"/>
    <col min="3" max="3" width="37.109375" customWidth="1"/>
  </cols>
  <sheetData>
    <row r="1" spans="1:3" ht="17.399999999999999" x14ac:dyDescent="0.3">
      <c r="A1" s="2" t="s">
        <v>85</v>
      </c>
    </row>
    <row r="2" spans="1:3" x14ac:dyDescent="0.3">
      <c r="A2" s="3" t="s">
        <v>86</v>
      </c>
    </row>
    <row r="4" spans="1:3" x14ac:dyDescent="0.3">
      <c r="A4" s="4" t="s">
        <v>80</v>
      </c>
      <c r="B4" s="4" t="s">
        <v>87</v>
      </c>
      <c r="C4" s="4" t="s">
        <v>88</v>
      </c>
    </row>
    <row r="5" spans="1:3" x14ac:dyDescent="0.3">
      <c r="A5" s="6" t="s">
        <v>17</v>
      </c>
      <c r="B5" s="7" t="str">
        <f>INDEX(Price_List!$B$5:$B$11,MATCH(A5,Price_List!$A$5:$A$11,0))</f>
        <v>Electronics</v>
      </c>
      <c r="C5" s="8">
        <f>INDEX(Price_List!$C$5:$C$11,MATCH(A5,Price_List!$A$5:$A$11,0))</f>
        <v>499</v>
      </c>
    </row>
    <row r="6" spans="1:3" x14ac:dyDescent="0.3">
      <c r="A6" s="6" t="s">
        <v>36</v>
      </c>
      <c r="B6" s="7" t="str">
        <f>INDEX(Price_List!$B$5:$B$11,MATCH(A6,Price_List!$A$5:$A$11,0))</f>
        <v>Furniture</v>
      </c>
      <c r="C6" s="8">
        <f>INDEX(Price_List!$C$5:$C$11,MATCH(A6,Price_List!$A$5:$A$11,0))</f>
        <v>4500</v>
      </c>
    </row>
    <row r="7" spans="1:3" x14ac:dyDescent="0.3">
      <c r="A7" s="6" t="s">
        <v>45</v>
      </c>
      <c r="B7" s="7" t="str">
        <f>INDEX(Price_List!$B$5:$B$11,MATCH(A7,Price_List!$A$5:$A$11,0))</f>
        <v>Stationery</v>
      </c>
      <c r="C7" s="8">
        <f>INDEX(Price_List!$C$5:$C$11,MATCH(A7,Price_List!$A$5:$A$11,0))</f>
        <v>45</v>
      </c>
    </row>
    <row r="8" spans="1:3" x14ac:dyDescent="0.3">
      <c r="A8" s="6" t="s">
        <v>49</v>
      </c>
      <c r="B8" s="7" t="str">
        <f>INDEX(Price_List!$B$5:$B$11,MATCH(A8,Price_List!$A$5:$A$11,0))</f>
        <v>Furniture</v>
      </c>
      <c r="C8" s="8">
        <f>INDEX(Price_List!$C$5:$C$11,MATCH(A8,Price_List!$A$5:$A$11,0))</f>
        <v>3200</v>
      </c>
    </row>
    <row r="9" spans="1:3" x14ac:dyDescent="0.3">
      <c r="A9" s="6" t="s">
        <v>40</v>
      </c>
      <c r="B9" s="7" t="str">
        <f>INDEX(Price_List!$B$5:$B$11,MATCH(A9,Price_List!$A$5:$A$11,0))</f>
        <v>Electronics</v>
      </c>
      <c r="C9" s="8">
        <f>INDEX(Price_List!$C$5:$C$11,MATCH(A9,Price_List!$A$5:$A$11,0))</f>
        <v>899</v>
      </c>
    </row>
    <row r="11" spans="1:3" x14ac:dyDescent="0.3">
      <c r="A11" s="1" t="s">
        <v>89</v>
      </c>
      <c r="B11" s="1"/>
      <c r="C11" s="1"/>
    </row>
  </sheetData>
  <mergeCells count="1">
    <mergeCell ref="A11:C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zoomScaleNormal="100" workbookViewId="0">
      <selection activeCell="A2" sqref="A2"/>
    </sheetView>
  </sheetViews>
  <sheetFormatPr defaultColWidth="8.6640625" defaultRowHeight="14.4" x14ac:dyDescent="0.3"/>
  <cols>
    <col min="1" max="1" width="43.6640625" bestFit="1" customWidth="1"/>
    <col min="2" max="2" width="8.6640625" bestFit="1" customWidth="1"/>
    <col min="3" max="3" width="16.44140625" bestFit="1" customWidth="1"/>
    <col min="4" max="4" width="16" customWidth="1"/>
    <col min="5" max="5" width="37.77734375" customWidth="1"/>
  </cols>
  <sheetData>
    <row r="1" spans="1:5" ht="17.399999999999999" x14ac:dyDescent="0.3">
      <c r="A1" s="21" t="s">
        <v>90</v>
      </c>
    </row>
    <row r="2" spans="1:5" x14ac:dyDescent="0.3">
      <c r="A2" s="30" t="s">
        <v>91</v>
      </c>
    </row>
    <row r="4" spans="1:5" x14ac:dyDescent="0.3">
      <c r="A4" s="23" t="s">
        <v>2</v>
      </c>
      <c r="B4" s="23" t="s">
        <v>10</v>
      </c>
      <c r="C4" s="23" t="s">
        <v>11</v>
      </c>
      <c r="D4" s="23" t="s">
        <v>92</v>
      </c>
      <c r="E4" s="23" t="s">
        <v>93</v>
      </c>
    </row>
    <row r="5" spans="1:5" x14ac:dyDescent="0.3">
      <c r="A5" s="24" t="str">
        <f>Transactions!A5</f>
        <v>ORD-1001</v>
      </c>
      <c r="B5" s="25">
        <f>Transactions!I5</f>
        <v>1497</v>
      </c>
      <c r="C5" s="24" t="str">
        <f>Transactions!J5</f>
        <v>Paid</v>
      </c>
      <c r="D5" s="24" t="str">
        <f t="shared" ref="D5:D19" si="0">IF(B5&gt;=2000,"Yes","No")</f>
        <v>No</v>
      </c>
      <c r="E5" s="24" t="str">
        <f t="shared" ref="E5:E19" si="1">IF(B5&gt;=2000,"Large",IF(B5&gt;=500,"Medium","Small"))</f>
        <v>Medium</v>
      </c>
    </row>
    <row r="6" spans="1:5" x14ac:dyDescent="0.3">
      <c r="A6" s="24" t="str">
        <f>Transactions!A6</f>
        <v>ORD-1002</v>
      </c>
      <c r="B6" s="25">
        <f>Transactions!I6</f>
        <v>600</v>
      </c>
      <c r="C6" s="24" t="str">
        <f>Transactions!J6</f>
        <v>Pending</v>
      </c>
      <c r="D6" s="24" t="str">
        <f t="shared" si="0"/>
        <v>No</v>
      </c>
      <c r="E6" s="24" t="str">
        <f t="shared" si="1"/>
        <v>Medium</v>
      </c>
    </row>
    <row r="7" spans="1:5" x14ac:dyDescent="0.3">
      <c r="A7" s="24" t="str">
        <f>Transactions!A7</f>
        <v>ORD-1003</v>
      </c>
      <c r="B7" s="25">
        <f>Transactions!I7</f>
        <v>750</v>
      </c>
      <c r="C7" s="24" t="str">
        <f>Transactions!J7</f>
        <v>Paid</v>
      </c>
      <c r="D7" s="24" t="str">
        <f t="shared" si="0"/>
        <v>No</v>
      </c>
      <c r="E7" s="24" t="str">
        <f t="shared" si="1"/>
        <v>Medium</v>
      </c>
    </row>
    <row r="8" spans="1:5" x14ac:dyDescent="0.3">
      <c r="A8" s="24" t="str">
        <f>Transactions!A8</f>
        <v>ORD-1004</v>
      </c>
      <c r="B8" s="25">
        <f>Transactions!I8</f>
        <v>4500</v>
      </c>
      <c r="C8" s="24" t="str">
        <f>Transactions!J8</f>
        <v>Paid</v>
      </c>
      <c r="D8" s="24" t="str">
        <f t="shared" si="0"/>
        <v>Yes</v>
      </c>
      <c r="E8" s="24" t="str">
        <f t="shared" si="1"/>
        <v>Large</v>
      </c>
    </row>
    <row r="9" spans="1:5" x14ac:dyDescent="0.3">
      <c r="A9" s="24" t="str">
        <f>Transactions!A9</f>
        <v>ORD-1005</v>
      </c>
      <c r="B9" s="25">
        <f>Transactions!I9</f>
        <v>1798</v>
      </c>
      <c r="C9" s="24" t="str">
        <f>Transactions!J9</f>
        <v>Failed</v>
      </c>
      <c r="D9" s="24" t="str">
        <f t="shared" si="0"/>
        <v>No</v>
      </c>
      <c r="E9" s="24" t="str">
        <f t="shared" si="1"/>
        <v>Medium</v>
      </c>
    </row>
    <row r="10" spans="1:5" x14ac:dyDescent="0.3">
      <c r="A10" s="24" t="str">
        <f>Transactions!A10</f>
        <v>ORD-1006</v>
      </c>
      <c r="B10" s="25">
        <f>Transactions!I10</f>
        <v>360</v>
      </c>
      <c r="C10" s="24" t="str">
        <f>Transactions!J10</f>
        <v>Paid</v>
      </c>
      <c r="D10" s="24" t="str">
        <f t="shared" si="0"/>
        <v>No</v>
      </c>
      <c r="E10" s="24" t="str">
        <f t="shared" si="1"/>
        <v>Small</v>
      </c>
    </row>
    <row r="11" spans="1:5" x14ac:dyDescent="0.3">
      <c r="A11" s="24" t="str">
        <f>Transactions!A11</f>
        <v>ORD-1007</v>
      </c>
      <c r="B11" s="25">
        <f>Transactions!I11</f>
        <v>3200</v>
      </c>
      <c r="C11" s="24" t="str">
        <f>Transactions!J11</f>
        <v>Pending</v>
      </c>
      <c r="D11" s="24" t="str">
        <f t="shared" si="0"/>
        <v>Yes</v>
      </c>
      <c r="E11" s="24" t="str">
        <f t="shared" si="1"/>
        <v>Large</v>
      </c>
    </row>
    <row r="12" spans="1:5" x14ac:dyDescent="0.3">
      <c r="A12" s="24" t="str">
        <f>Transactions!A12</f>
        <v>ORD-1008</v>
      </c>
      <c r="B12" s="25">
        <f>Transactions!I12</f>
        <v>1996</v>
      </c>
      <c r="C12" s="24" t="str">
        <f>Transactions!J12</f>
        <v>Paid</v>
      </c>
      <c r="D12" s="24" t="str">
        <f t="shared" si="0"/>
        <v>No</v>
      </c>
      <c r="E12" s="24" t="str">
        <f t="shared" si="1"/>
        <v>Medium</v>
      </c>
    </row>
    <row r="13" spans="1:5" x14ac:dyDescent="0.3">
      <c r="A13" s="24" t="str">
        <f>Transactions!A13</f>
        <v>ORD-1009</v>
      </c>
      <c r="B13" s="25">
        <f>Transactions!I13</f>
        <v>360</v>
      </c>
      <c r="C13" s="24" t="str">
        <f>Transactions!J13</f>
        <v>Paid</v>
      </c>
      <c r="D13" s="24" t="str">
        <f t="shared" si="0"/>
        <v>No</v>
      </c>
      <c r="E13" s="24" t="str">
        <f t="shared" si="1"/>
        <v>Small</v>
      </c>
    </row>
    <row r="14" spans="1:5" x14ac:dyDescent="0.3">
      <c r="A14" s="24" t="str">
        <f>Transactions!A14</f>
        <v>ORD-1010</v>
      </c>
      <c r="B14" s="25">
        <f>Transactions!I14</f>
        <v>9000</v>
      </c>
      <c r="C14" s="24" t="str">
        <f>Transactions!J14</f>
        <v>Failed</v>
      </c>
      <c r="D14" s="24" t="str">
        <f t="shared" si="0"/>
        <v>Yes</v>
      </c>
      <c r="E14" s="24" t="str">
        <f t="shared" si="1"/>
        <v>Large</v>
      </c>
    </row>
    <row r="15" spans="1:5" x14ac:dyDescent="0.3">
      <c r="A15" s="24" t="str">
        <f>Transactions!A15</f>
        <v>ORD-1011</v>
      </c>
      <c r="B15" s="25">
        <f>Transactions!I15</f>
        <v>1800</v>
      </c>
      <c r="C15" s="24" t="str">
        <f>Transactions!J15</f>
        <v>Paid</v>
      </c>
      <c r="D15" s="24" t="str">
        <f t="shared" si="0"/>
        <v>No</v>
      </c>
      <c r="E15" s="24" t="str">
        <f t="shared" si="1"/>
        <v>Medium</v>
      </c>
    </row>
    <row r="16" spans="1:5" x14ac:dyDescent="0.3">
      <c r="A16" s="24" t="str">
        <f>Transactions!A16</f>
        <v>ORD-1012</v>
      </c>
      <c r="B16" s="25">
        <f>Transactions!I16</f>
        <v>675</v>
      </c>
      <c r="C16" s="24" t="str">
        <f>Transactions!J16</f>
        <v>Paid</v>
      </c>
      <c r="D16" s="24" t="str">
        <f t="shared" si="0"/>
        <v>No</v>
      </c>
      <c r="E16" s="24" t="str">
        <f t="shared" si="1"/>
        <v>Medium</v>
      </c>
    </row>
    <row r="17" spans="1:5" x14ac:dyDescent="0.3">
      <c r="A17" s="24" t="str">
        <f>Transactions!A17</f>
        <v>ORD-1013</v>
      </c>
      <c r="B17" s="25">
        <f>Transactions!I17</f>
        <v>899</v>
      </c>
      <c r="C17" s="24" t="str">
        <f>Transactions!J17</f>
        <v>Pending</v>
      </c>
      <c r="D17" s="24" t="str">
        <f t="shared" si="0"/>
        <v>No</v>
      </c>
      <c r="E17" s="24" t="str">
        <f t="shared" si="1"/>
        <v>Medium</v>
      </c>
    </row>
    <row r="18" spans="1:5" x14ac:dyDescent="0.3">
      <c r="A18" s="24" t="str">
        <f>Transactions!A18</f>
        <v>ORD-1014</v>
      </c>
      <c r="B18" s="25">
        <f>Transactions!I18</f>
        <v>9600</v>
      </c>
      <c r="C18" s="24" t="str">
        <f>Transactions!J18</f>
        <v>Paid</v>
      </c>
      <c r="D18" s="24" t="str">
        <f t="shared" si="0"/>
        <v>Yes</v>
      </c>
      <c r="E18" s="24" t="str">
        <f t="shared" si="1"/>
        <v>Large</v>
      </c>
    </row>
    <row r="19" spans="1:5" x14ac:dyDescent="0.3">
      <c r="A19" s="24" t="str">
        <f>Transactions!A19</f>
        <v>ORD-1015</v>
      </c>
      <c r="B19" s="25">
        <f>Transactions!I19</f>
        <v>3493</v>
      </c>
      <c r="C19" s="24" t="str">
        <f>Transactions!J19</f>
        <v>Paid</v>
      </c>
      <c r="D19" s="24" t="str">
        <f t="shared" si="0"/>
        <v>Yes</v>
      </c>
      <c r="E19" s="24" t="str">
        <f t="shared" si="1"/>
        <v>Large</v>
      </c>
    </row>
    <row r="21" spans="1:5" x14ac:dyDescent="0.3">
      <c r="A21" s="28" t="s">
        <v>94</v>
      </c>
      <c r="B21" s="28"/>
      <c r="C21" s="28"/>
      <c r="D21" s="28"/>
      <c r="E21" s="28"/>
    </row>
    <row r="22" spans="1:5" x14ac:dyDescent="0.3">
      <c r="A22" s="29"/>
      <c r="B22" s="29"/>
      <c r="C22" s="29"/>
      <c r="D22" s="29"/>
      <c r="E22" s="29"/>
    </row>
  </sheetData>
  <mergeCells count="1">
    <mergeCell ref="A21:E2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zoomScaleNormal="100" workbookViewId="0"/>
  </sheetViews>
  <sheetFormatPr defaultColWidth="8.6640625" defaultRowHeight="14.4" x14ac:dyDescent="0.3"/>
  <cols>
    <col min="1" max="1" width="16" customWidth="1"/>
    <col min="2" max="4" width="22" customWidth="1"/>
  </cols>
  <sheetData>
    <row r="1" spans="1:4" ht="17.399999999999999" x14ac:dyDescent="0.3">
      <c r="A1" s="2" t="s">
        <v>95</v>
      </c>
    </row>
    <row r="2" spans="1:4" x14ac:dyDescent="0.3">
      <c r="A2" s="3" t="s">
        <v>96</v>
      </c>
    </row>
    <row r="4" spans="1:4" x14ac:dyDescent="0.3">
      <c r="A4" s="9" t="s">
        <v>97</v>
      </c>
    </row>
    <row r="5" spans="1:4" x14ac:dyDescent="0.3">
      <c r="A5" s="4" t="s">
        <v>5</v>
      </c>
      <c r="B5" s="4" t="s">
        <v>98</v>
      </c>
      <c r="C5" s="4" t="s">
        <v>99</v>
      </c>
    </row>
    <row r="6" spans="1:4" x14ac:dyDescent="0.3">
      <c r="A6" s="6" t="s">
        <v>15</v>
      </c>
      <c r="B6" s="8">
        <f>SUMIFS(Transactions!$I$5:$I$19,Transactions!$D$5:$D$19,A6)</f>
        <v>4554</v>
      </c>
      <c r="C6" s="7">
        <f>COUNTIFS(Transactions!$D$5:$D$19,A6)</f>
        <v>4</v>
      </c>
    </row>
    <row r="7" spans="1:4" x14ac:dyDescent="0.3">
      <c r="A7" s="6" t="s">
        <v>22</v>
      </c>
      <c r="B7" s="8">
        <f>SUMIFS(Transactions!$I$5:$I$19,Transactions!$D$5:$D$19,A7)</f>
        <v>19560</v>
      </c>
      <c r="C7" s="7">
        <f>COUNTIFS(Transactions!$D$5:$D$19,A7)</f>
        <v>4</v>
      </c>
    </row>
    <row r="8" spans="1:4" x14ac:dyDescent="0.3">
      <c r="A8" s="6" t="s">
        <v>34</v>
      </c>
      <c r="B8" s="8">
        <f>SUMIFS(Transactions!$I$5:$I$19,Transactions!$D$5:$D$19,A8)</f>
        <v>7171</v>
      </c>
      <c r="C8" s="7">
        <f>COUNTIFS(Transactions!$D$5:$D$19,A8)</f>
        <v>3</v>
      </c>
    </row>
    <row r="9" spans="1:4" x14ac:dyDescent="0.3">
      <c r="A9" s="6" t="s">
        <v>29</v>
      </c>
      <c r="B9" s="8">
        <f>SUMIFS(Transactions!$I$5:$I$19,Transactions!$D$5:$D$19,A9)</f>
        <v>9243</v>
      </c>
      <c r="C9" s="7">
        <f>COUNTIFS(Transactions!$D$5:$D$19,A9)</f>
        <v>4</v>
      </c>
    </row>
    <row r="11" spans="1:4" x14ac:dyDescent="0.3">
      <c r="A11" s="9" t="s">
        <v>100</v>
      </c>
    </row>
    <row r="12" spans="1:4" x14ac:dyDescent="0.3">
      <c r="A12" s="4" t="s">
        <v>6</v>
      </c>
      <c r="B12" s="4" t="s">
        <v>101</v>
      </c>
      <c r="C12" s="4" t="s">
        <v>98</v>
      </c>
      <c r="D12" s="4" t="s">
        <v>99</v>
      </c>
    </row>
    <row r="13" spans="1:4" x14ac:dyDescent="0.3">
      <c r="A13" s="6" t="s">
        <v>16</v>
      </c>
      <c r="B13" s="6" t="s">
        <v>18</v>
      </c>
      <c r="C13" s="8">
        <f>SUMIFS(Transactions!$I$5:$I$19,Transactions!$E$5:$E$19,A13,Transactions!$J$5:$J$19,B13)</f>
        <v>9536</v>
      </c>
      <c r="D13" s="7">
        <f>COUNTIFS(Transactions!$E$5:$E$19,A13,Transactions!$J$5:$J$19,B13)</f>
        <v>5</v>
      </c>
    </row>
    <row r="14" spans="1:4" x14ac:dyDescent="0.3">
      <c r="A14" s="6" t="s">
        <v>23</v>
      </c>
      <c r="B14" s="6" t="s">
        <v>18</v>
      </c>
      <c r="C14" s="8">
        <f>SUMIFS(Transactions!$I$5:$I$19,Transactions!$E$5:$E$19,A14,Transactions!$J$5:$J$19,B14)</f>
        <v>1395</v>
      </c>
      <c r="D14" s="7">
        <f>COUNTIFS(Transactions!$E$5:$E$19,A14,Transactions!$J$5:$J$19,B14)</f>
        <v>3</v>
      </c>
    </row>
    <row r="15" spans="1:4" x14ac:dyDescent="0.3">
      <c r="A15" s="6" t="s">
        <v>35</v>
      </c>
      <c r="B15" s="6" t="s">
        <v>25</v>
      </c>
      <c r="C15" s="8">
        <f>SUMIFS(Transactions!$I$5:$I$19,Transactions!$E$5:$E$19,A15,Transactions!$J$5:$J$19,B15)</f>
        <v>3200</v>
      </c>
      <c r="D15" s="7">
        <f>COUNTIFS(Transactions!$E$5:$E$19,A15,Transactions!$J$5:$J$19,B15)</f>
        <v>1</v>
      </c>
    </row>
    <row r="16" spans="1:4" x14ac:dyDescent="0.3">
      <c r="A16" s="6" t="s">
        <v>16</v>
      </c>
      <c r="B16" s="6" t="s">
        <v>41</v>
      </c>
      <c r="C16" s="8">
        <f>SUMIFS(Transactions!$I$5:$I$19,Transactions!$E$5:$E$19,A16,Transactions!$J$5:$J$19,B16)</f>
        <v>1798</v>
      </c>
      <c r="D16" s="7">
        <f>COUNTIFS(Transactions!$E$5:$E$19,A16,Transactions!$J$5:$J$19,B16)</f>
        <v>1</v>
      </c>
    </row>
    <row r="18" spans="1:4" x14ac:dyDescent="0.3">
      <c r="A18" s="1" t="s">
        <v>102</v>
      </c>
      <c r="B18" s="1"/>
      <c r="C18" s="1"/>
      <c r="D18" s="1"/>
    </row>
  </sheetData>
  <mergeCells count="1">
    <mergeCell ref="A18:D1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1"/>
  <sheetViews>
    <sheetView zoomScaleNormal="100" workbookViewId="0">
      <selection activeCell="A25" sqref="A25"/>
    </sheetView>
  </sheetViews>
  <sheetFormatPr defaultColWidth="8.6640625" defaultRowHeight="14.4" x14ac:dyDescent="0.3"/>
  <cols>
    <col min="1" max="1" width="48.109375" bestFit="1" customWidth="1"/>
    <col min="2" max="2" width="14.77734375" bestFit="1" customWidth="1"/>
    <col min="3" max="4" width="18" customWidth="1"/>
    <col min="5" max="5" width="24.6640625" bestFit="1" customWidth="1"/>
    <col min="6" max="6" width="30.109375" bestFit="1" customWidth="1"/>
    <col min="7" max="7" width="16.5546875" bestFit="1" customWidth="1"/>
  </cols>
  <sheetData>
    <row r="1" spans="1:7" ht="17.399999999999999" x14ac:dyDescent="0.3">
      <c r="A1" s="21" t="s">
        <v>103</v>
      </c>
    </row>
    <row r="2" spans="1:7" x14ac:dyDescent="0.3">
      <c r="A2" s="3" t="s">
        <v>104</v>
      </c>
    </row>
    <row r="4" spans="1:7" x14ac:dyDescent="0.3">
      <c r="A4" s="27" t="s">
        <v>105</v>
      </c>
      <c r="B4" s="27" t="s">
        <v>106</v>
      </c>
      <c r="C4" s="27" t="s">
        <v>107</v>
      </c>
      <c r="D4" s="27" t="s">
        <v>108</v>
      </c>
      <c r="E4" s="27" t="s">
        <v>109</v>
      </c>
      <c r="F4" s="27" t="s">
        <v>110</v>
      </c>
      <c r="G4" s="27" t="s">
        <v>111</v>
      </c>
    </row>
    <row r="5" spans="1:7" x14ac:dyDescent="0.3">
      <c r="A5" s="24" t="str">
        <f>Transactions!C5</f>
        <v xml:space="preserve">  rahul sharma </v>
      </c>
      <c r="B5" s="24" t="str">
        <f>TRIM(A5)</f>
        <v>rahul sharma</v>
      </c>
      <c r="C5" s="24" t="str">
        <f t="shared" ref="C5:C19" si="0">PROPER(TRIM(A5))</f>
        <v>Rahul Sharma</v>
      </c>
      <c r="D5" s="24" t="str">
        <f t="shared" ref="D5:D19" si="1">UPPER(TRIM(A5))</f>
        <v>RAHUL SHARMA</v>
      </c>
      <c r="E5" s="24" t="str">
        <f t="shared" ref="E5:E19" si="2">LEFT(B5,FIND(" ",B5)-1)</f>
        <v>rahul</v>
      </c>
      <c r="F5" s="24" t="str">
        <f t="shared" ref="F5:F19" si="3">MID(B5,FIND(" ",B5)+1,LEN(B5))</f>
        <v>sharma</v>
      </c>
      <c r="G5" s="24" t="str">
        <f t="shared" ref="G5:G19" si="4">UPPER(LEFT(E5,1))&amp;"."&amp;UPPER(LEFT(F5,1))&amp;"."</f>
        <v>R.S.</v>
      </c>
    </row>
    <row r="6" spans="1:7" x14ac:dyDescent="0.3">
      <c r="A6" s="24" t="str">
        <f>Transactions!C6</f>
        <v>priya Verma</v>
      </c>
      <c r="B6" s="24" t="str">
        <f t="shared" ref="B5:B19" si="5">TRIM(A6)</f>
        <v>priya Verma</v>
      </c>
      <c r="C6" s="24" t="str">
        <f t="shared" si="0"/>
        <v>Priya Verma</v>
      </c>
      <c r="D6" s="24" t="str">
        <f t="shared" si="1"/>
        <v>PRIYA VERMA</v>
      </c>
      <c r="E6" s="24" t="str">
        <f t="shared" si="2"/>
        <v>priya</v>
      </c>
      <c r="F6" s="24" t="str">
        <f t="shared" si="3"/>
        <v>Verma</v>
      </c>
      <c r="G6" s="24" t="str">
        <f t="shared" si="4"/>
        <v>P.V.</v>
      </c>
    </row>
    <row r="7" spans="1:7" x14ac:dyDescent="0.3">
      <c r="A7" s="24" t="str">
        <f>Transactions!C7</f>
        <v>AMIT Singh</v>
      </c>
      <c r="B7" s="24" t="str">
        <f t="shared" si="5"/>
        <v>AMIT Singh</v>
      </c>
      <c r="C7" s="24" t="str">
        <f t="shared" si="0"/>
        <v>Amit Singh</v>
      </c>
      <c r="D7" s="24" t="str">
        <f t="shared" si="1"/>
        <v>AMIT SINGH</v>
      </c>
      <c r="E7" s="24" t="str">
        <f t="shared" si="2"/>
        <v>AMIT</v>
      </c>
      <c r="F7" s="24" t="str">
        <f t="shared" si="3"/>
        <v>Singh</v>
      </c>
      <c r="G7" s="24" t="str">
        <f t="shared" si="4"/>
        <v>A.S.</v>
      </c>
    </row>
    <row r="8" spans="1:7" x14ac:dyDescent="0.3">
      <c r="A8" s="24" t="str">
        <f>Transactions!C8</f>
        <v>sneha Iyer</v>
      </c>
      <c r="B8" s="24" t="str">
        <f t="shared" si="5"/>
        <v>sneha Iyer</v>
      </c>
      <c r="C8" s="24" t="str">
        <f t="shared" si="0"/>
        <v>Sneha Iyer</v>
      </c>
      <c r="D8" s="24" t="str">
        <f t="shared" si="1"/>
        <v>SNEHA IYER</v>
      </c>
      <c r="E8" s="24" t="str">
        <f t="shared" si="2"/>
        <v>sneha</v>
      </c>
      <c r="F8" s="24" t="str">
        <f t="shared" si="3"/>
        <v>Iyer</v>
      </c>
      <c r="G8" s="24" t="str">
        <f t="shared" si="4"/>
        <v>S.I.</v>
      </c>
    </row>
    <row r="9" spans="1:7" x14ac:dyDescent="0.3">
      <c r="A9" s="24" t="str">
        <f>Transactions!C9</f>
        <v xml:space="preserve">vikram rao </v>
      </c>
      <c r="B9" s="24" t="str">
        <f t="shared" si="5"/>
        <v>vikram rao</v>
      </c>
      <c r="C9" s="24" t="str">
        <f t="shared" si="0"/>
        <v>Vikram Rao</v>
      </c>
      <c r="D9" s="24" t="str">
        <f t="shared" si="1"/>
        <v>VIKRAM RAO</v>
      </c>
      <c r="E9" s="24" t="str">
        <f t="shared" si="2"/>
        <v>vikram</v>
      </c>
      <c r="F9" s="24" t="str">
        <f t="shared" si="3"/>
        <v>rao</v>
      </c>
      <c r="G9" s="24" t="str">
        <f t="shared" si="4"/>
        <v>V.R.</v>
      </c>
    </row>
    <row r="10" spans="1:7" x14ac:dyDescent="0.3">
      <c r="A10" s="24" t="str">
        <f>Transactions!C10</f>
        <v xml:space="preserve"> Kavya Nair</v>
      </c>
      <c r="B10" s="24" t="str">
        <f t="shared" si="5"/>
        <v>Kavya Nair</v>
      </c>
      <c r="C10" s="24" t="str">
        <f t="shared" si="0"/>
        <v>Kavya Nair</v>
      </c>
      <c r="D10" s="24" t="str">
        <f t="shared" si="1"/>
        <v>KAVYA NAIR</v>
      </c>
      <c r="E10" s="24" t="str">
        <f t="shared" si="2"/>
        <v>Kavya</v>
      </c>
      <c r="F10" s="24" t="str">
        <f t="shared" si="3"/>
        <v>Nair</v>
      </c>
      <c r="G10" s="24" t="str">
        <f t="shared" si="4"/>
        <v>K.N.</v>
      </c>
    </row>
    <row r="11" spans="1:7" x14ac:dyDescent="0.3">
      <c r="A11" s="24" t="str">
        <f>Transactions!C11</f>
        <v>Rohit Mehta</v>
      </c>
      <c r="B11" s="24" t="str">
        <f t="shared" si="5"/>
        <v>Rohit Mehta</v>
      </c>
      <c r="C11" s="24" t="str">
        <f t="shared" si="0"/>
        <v>Rohit Mehta</v>
      </c>
      <c r="D11" s="24" t="str">
        <f t="shared" si="1"/>
        <v>ROHIT MEHTA</v>
      </c>
      <c r="E11" s="24" t="str">
        <f t="shared" si="2"/>
        <v>Rohit</v>
      </c>
      <c r="F11" s="24" t="str">
        <f t="shared" si="3"/>
        <v>Mehta</v>
      </c>
      <c r="G11" s="24" t="str">
        <f t="shared" si="4"/>
        <v>R.M.</v>
      </c>
    </row>
    <row r="12" spans="1:7" x14ac:dyDescent="0.3">
      <c r="A12" s="24" t="str">
        <f>Transactions!C12</f>
        <v>anjali Gupta</v>
      </c>
      <c r="B12" s="24" t="str">
        <f t="shared" si="5"/>
        <v>anjali Gupta</v>
      </c>
      <c r="C12" s="24" t="str">
        <f t="shared" si="0"/>
        <v>Anjali Gupta</v>
      </c>
      <c r="D12" s="24" t="str">
        <f t="shared" si="1"/>
        <v>ANJALI GUPTA</v>
      </c>
      <c r="E12" s="24" t="str">
        <f t="shared" si="2"/>
        <v>anjali</v>
      </c>
      <c r="F12" s="24" t="str">
        <f t="shared" si="3"/>
        <v>Gupta</v>
      </c>
      <c r="G12" s="24" t="str">
        <f t="shared" si="4"/>
        <v>A.G.</v>
      </c>
    </row>
    <row r="13" spans="1:7" x14ac:dyDescent="0.3">
      <c r="A13" s="24" t="str">
        <f>Transactions!C13</f>
        <v>Karan Malhotra</v>
      </c>
      <c r="B13" s="24" t="str">
        <f t="shared" si="5"/>
        <v>Karan Malhotra</v>
      </c>
      <c r="C13" s="24" t="str">
        <f t="shared" si="0"/>
        <v>Karan Malhotra</v>
      </c>
      <c r="D13" s="24" t="str">
        <f t="shared" si="1"/>
        <v>KARAN MALHOTRA</v>
      </c>
      <c r="E13" s="24" t="str">
        <f t="shared" si="2"/>
        <v>Karan</v>
      </c>
      <c r="F13" s="24" t="str">
        <f t="shared" si="3"/>
        <v>Malhotra</v>
      </c>
      <c r="G13" s="24" t="str">
        <f t="shared" si="4"/>
        <v>K.M.</v>
      </c>
    </row>
    <row r="14" spans="1:7" x14ac:dyDescent="0.3">
      <c r="A14" s="24" t="str">
        <f>Transactions!C14</f>
        <v>Divya Pillai</v>
      </c>
      <c r="B14" s="24" t="str">
        <f t="shared" si="5"/>
        <v>Divya Pillai</v>
      </c>
      <c r="C14" s="24" t="str">
        <f t="shared" si="0"/>
        <v>Divya Pillai</v>
      </c>
      <c r="D14" s="24" t="str">
        <f t="shared" si="1"/>
        <v>DIVYA PILLAI</v>
      </c>
      <c r="E14" s="24" t="str">
        <f t="shared" si="2"/>
        <v>Divya</v>
      </c>
      <c r="F14" s="24" t="str">
        <f t="shared" si="3"/>
        <v>Pillai</v>
      </c>
      <c r="G14" s="24" t="str">
        <f t="shared" si="4"/>
        <v>D.P.</v>
      </c>
    </row>
    <row r="15" spans="1:7" x14ac:dyDescent="0.3">
      <c r="A15" s="24" t="str">
        <f>Transactions!C15</f>
        <v>Suresh Kumar</v>
      </c>
      <c r="B15" s="24" t="str">
        <f t="shared" si="5"/>
        <v>Suresh Kumar</v>
      </c>
      <c r="C15" s="24" t="str">
        <f t="shared" si="0"/>
        <v>Suresh Kumar</v>
      </c>
      <c r="D15" s="24" t="str">
        <f t="shared" si="1"/>
        <v>SURESH KUMAR</v>
      </c>
      <c r="E15" s="24" t="str">
        <f t="shared" si="2"/>
        <v>Suresh</v>
      </c>
      <c r="F15" s="24" t="str">
        <f t="shared" si="3"/>
        <v>Kumar</v>
      </c>
      <c r="G15" s="24" t="str">
        <f t="shared" si="4"/>
        <v>S.K.</v>
      </c>
    </row>
    <row r="16" spans="1:7" x14ac:dyDescent="0.3">
      <c r="A16" s="24" t="str">
        <f>Transactions!C16</f>
        <v>Neha Joshi</v>
      </c>
      <c r="B16" s="24" t="str">
        <f t="shared" si="5"/>
        <v>Neha Joshi</v>
      </c>
      <c r="C16" s="24" t="str">
        <f t="shared" si="0"/>
        <v>Neha Joshi</v>
      </c>
      <c r="D16" s="24" t="str">
        <f t="shared" si="1"/>
        <v>NEHA JOSHI</v>
      </c>
      <c r="E16" s="24" t="str">
        <f t="shared" si="2"/>
        <v>Neha</v>
      </c>
      <c r="F16" s="24" t="str">
        <f t="shared" si="3"/>
        <v>Joshi</v>
      </c>
      <c r="G16" s="24" t="str">
        <f t="shared" si="4"/>
        <v>N.J.</v>
      </c>
    </row>
    <row r="17" spans="1:7" x14ac:dyDescent="0.3">
      <c r="A17" s="24" t="str">
        <f>Transactions!C17</f>
        <v>Arjun Reddy</v>
      </c>
      <c r="B17" s="24" t="str">
        <f t="shared" si="5"/>
        <v>Arjun Reddy</v>
      </c>
      <c r="C17" s="24" t="str">
        <f t="shared" si="0"/>
        <v>Arjun Reddy</v>
      </c>
      <c r="D17" s="24" t="str">
        <f t="shared" si="1"/>
        <v>ARJUN REDDY</v>
      </c>
      <c r="E17" s="24" t="str">
        <f t="shared" si="2"/>
        <v>Arjun</v>
      </c>
      <c r="F17" s="24" t="str">
        <f t="shared" si="3"/>
        <v>Reddy</v>
      </c>
      <c r="G17" s="24" t="str">
        <f t="shared" si="4"/>
        <v>A.R.</v>
      </c>
    </row>
    <row r="18" spans="1:7" x14ac:dyDescent="0.3">
      <c r="A18" s="24" t="str">
        <f>Transactions!C18</f>
        <v>Meera Das</v>
      </c>
      <c r="B18" s="24" t="str">
        <f t="shared" si="5"/>
        <v>Meera Das</v>
      </c>
      <c r="C18" s="24" t="str">
        <f t="shared" si="0"/>
        <v>Meera Das</v>
      </c>
      <c r="D18" s="24" t="str">
        <f t="shared" si="1"/>
        <v>MEERA DAS</v>
      </c>
      <c r="E18" s="24" t="str">
        <f t="shared" si="2"/>
        <v>Meera</v>
      </c>
      <c r="F18" s="24" t="str">
        <f t="shared" si="3"/>
        <v>Das</v>
      </c>
      <c r="G18" s="24" t="str">
        <f t="shared" si="4"/>
        <v>M.D.</v>
      </c>
    </row>
    <row r="19" spans="1:7" x14ac:dyDescent="0.3">
      <c r="A19" s="24" t="str">
        <f>Transactions!C19</f>
        <v>Farhan Ali</v>
      </c>
      <c r="B19" s="24" t="str">
        <f t="shared" si="5"/>
        <v>Farhan Ali</v>
      </c>
      <c r="C19" s="24" t="str">
        <f t="shared" si="0"/>
        <v>Farhan Ali</v>
      </c>
      <c r="D19" s="24" t="str">
        <f t="shared" si="1"/>
        <v>FARHAN ALI</v>
      </c>
      <c r="E19" s="24" t="str">
        <f t="shared" si="2"/>
        <v>Farhan</v>
      </c>
      <c r="F19" s="24" t="str">
        <f t="shared" si="3"/>
        <v>Ali</v>
      </c>
      <c r="G19" s="24" t="str">
        <f t="shared" si="4"/>
        <v>F.A.</v>
      </c>
    </row>
    <row r="21" spans="1:7" x14ac:dyDescent="0.3">
      <c r="A21" s="28" t="s">
        <v>112</v>
      </c>
      <c r="B21" s="28"/>
      <c r="C21" s="28"/>
      <c r="D21" s="28"/>
      <c r="E21" s="28"/>
      <c r="F21" s="28"/>
      <c r="G21" s="28"/>
    </row>
  </sheetData>
  <mergeCells count="1">
    <mergeCell ref="A21:G2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topLeftCell="A7" zoomScaleNormal="100" workbookViewId="0">
      <selection activeCell="B2" sqref="B2"/>
    </sheetView>
  </sheetViews>
  <sheetFormatPr defaultColWidth="8.6640625" defaultRowHeight="14.4" x14ac:dyDescent="0.3"/>
  <cols>
    <col min="1" max="1" width="52.5546875" bestFit="1" customWidth="1"/>
    <col min="2" max="2" width="44.33203125" bestFit="1" customWidth="1"/>
    <col min="3" max="3" width="45" customWidth="1"/>
  </cols>
  <sheetData>
    <row r="1" spans="1:3" ht="17.399999999999999" x14ac:dyDescent="0.3">
      <c r="A1" s="21" t="s">
        <v>113</v>
      </c>
    </row>
    <row r="2" spans="1:3" x14ac:dyDescent="0.3">
      <c r="A2" s="3" t="s">
        <v>114</v>
      </c>
    </row>
    <row r="4" spans="1:3" x14ac:dyDescent="0.3">
      <c r="A4" s="16" t="s">
        <v>115</v>
      </c>
      <c r="B4" s="16" t="s">
        <v>116</v>
      </c>
      <c r="C4" s="16" t="s">
        <v>117</v>
      </c>
    </row>
    <row r="5" spans="1:3" ht="39.75" customHeight="1" x14ac:dyDescent="0.3">
      <c r="A5" s="26" t="s">
        <v>78</v>
      </c>
      <c r="B5" s="10" t="s">
        <v>118</v>
      </c>
      <c r="C5" s="10" t="s">
        <v>119</v>
      </c>
    </row>
    <row r="6" spans="1:3" ht="39.75" customHeight="1" x14ac:dyDescent="0.3">
      <c r="A6" s="26" t="s">
        <v>120</v>
      </c>
      <c r="B6" s="10" t="s">
        <v>121</v>
      </c>
      <c r="C6" s="10" t="s">
        <v>122</v>
      </c>
    </row>
    <row r="7" spans="1:3" ht="39.75" customHeight="1" x14ac:dyDescent="0.3">
      <c r="A7" s="26" t="s">
        <v>123</v>
      </c>
      <c r="B7" s="10" t="s">
        <v>124</v>
      </c>
      <c r="C7" s="10" t="s">
        <v>125</v>
      </c>
    </row>
    <row r="8" spans="1:3" ht="39.75" customHeight="1" x14ac:dyDescent="0.3">
      <c r="A8" s="26" t="s">
        <v>126</v>
      </c>
      <c r="B8" s="10" t="s">
        <v>127</v>
      </c>
      <c r="C8" s="10" t="s">
        <v>128</v>
      </c>
    </row>
    <row r="9" spans="1:3" ht="39.75" customHeight="1" x14ac:dyDescent="0.3">
      <c r="A9" s="26" t="s">
        <v>129</v>
      </c>
      <c r="B9" s="10" t="s">
        <v>130</v>
      </c>
      <c r="C9" s="10" t="s">
        <v>131</v>
      </c>
    </row>
    <row r="10" spans="1:3" ht="39.75" customHeight="1" x14ac:dyDescent="0.3">
      <c r="A10" s="26" t="s">
        <v>106</v>
      </c>
      <c r="B10" s="10" t="s">
        <v>132</v>
      </c>
      <c r="C10" s="10" t="s">
        <v>133</v>
      </c>
    </row>
    <row r="11" spans="1:3" ht="39.75" customHeight="1" x14ac:dyDescent="0.3">
      <c r="A11" s="26" t="s">
        <v>134</v>
      </c>
      <c r="B11" s="10" t="s">
        <v>135</v>
      </c>
      <c r="C11" s="10" t="s">
        <v>136</v>
      </c>
    </row>
    <row r="12" spans="1:3" ht="39.75" customHeight="1" x14ac:dyDescent="0.3">
      <c r="A12" s="26" t="s">
        <v>137</v>
      </c>
      <c r="B12" s="10" t="s">
        <v>138</v>
      </c>
      <c r="C12" s="10" t="s">
        <v>139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Transactions</vt:lpstr>
      <vt:lpstr>Price_List</vt:lpstr>
      <vt:lpstr>VLOOKUP_demo</vt:lpstr>
      <vt:lpstr>INDEX_MATCH_demo</vt:lpstr>
      <vt:lpstr>IF_demo</vt:lpstr>
      <vt:lpstr>SUMIFS_COUNTIFS_demo</vt:lpstr>
      <vt:lpstr>TEXT_functions_demo</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Akshat Srivastava</cp:lastModifiedBy>
  <cp:revision>0</cp:revision>
  <dcterms:created xsi:type="dcterms:W3CDTF">2026-09-13T07:00:50Z</dcterms:created>
  <dcterms:modified xsi:type="dcterms:W3CDTF">2026-09-13T07:36:30Z</dcterms:modified>
  <dc:language>en-US</dc:language>
</cp:coreProperties>
</file>